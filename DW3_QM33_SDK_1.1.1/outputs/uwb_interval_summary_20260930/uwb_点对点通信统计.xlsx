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889186bfcc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结果" sheetId="1" r:id="R8e7f4d31a01c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00%"/>
  </x:numFmts>
  <x:fonts count="4">
    <x:font>
      <x:sz val="11"/>
      <x:name val="Carlito"/>
    </x:font>
    <x:font>
      <x:sz val="13"/>
      <x:color rgb="FF111827"/>
      <x:name val="Arial"/>
    </x:font>
    <x:font>
      <x:b/>
      <x:sz val="13"/>
      <x:color rgb="FF111827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AF4"/>
      </x:patternFill>
    </x:fill>
    <x:fill>
      <x:patternFill patternType="solid">
        <x:fgColor rgb="FFFFF200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left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2a9c83f0043c7" /><Relationship Type="http://schemas.openxmlformats.org/officeDocument/2006/relationships/theme" Target="/xl/theme/theme1.xml" Id="Rdd5235ac930a4f6a" /><Relationship Type="http://schemas.openxmlformats.org/officeDocument/2006/relationships/sharedStrings" Target="/xl/sharedStrings.xml" Id="R1ed9f588d9a9420f" /><Relationship Type="http://schemas.openxmlformats.org/officeDocument/2006/relationships/worksheet" Target="/xl/worksheets/sheet1.xml" Id="R8e7f4d31a01c4b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20" hidden="0" customWidth="1"/>
    <x:col min="6" max="6" width="16" hidden="0" customWidth="1"/>
    <x:col min="7" max="7" width="21" hidden="0" customWidth="1"/>
  </x:cols>
  <x:sheetData>
    <x:row r="1" ht="38" customHeight="1">
      <x:c r="A1" s="7" t="str">
        <x:v>发送间隔</x:v>
      </x:c>
      <x:c r="B1" s="7" t="str">
        <x:v>发送数</x:v>
      </x:c>
      <x:c r="C1" s="7" t="str">
        <x:v>有效接收</x:v>
      </x:c>
      <x:c r="D1" s="7" t="str">
        <x:v>丢包+错误数</x:v>
      </x:c>
      <x:c r="E1" s="7" t="str">
        <x:v>丢包率+错误率</x:v>
      </x:c>
      <x:c r="F1" s="8" t="str">
        <x:v>成功率</x:v>
      </x:c>
      <x:c r="G1" s="7" t="str">
        <x:v>实测约耗时</x:v>
      </x:c>
    </x:row>
    <x:row r="2" ht="30" customHeight="1">
      <x:c r="A2" s="12" t="str">
        <x:v>10 ms</x:v>
      </x:c>
      <x:c r="B2" s="13" t="n">
        <x:v>300000</x:v>
      </x:c>
      <x:c r="C2" s="13" t="n">
        <x:v>299822</x:v>
      </x:c>
      <x:c r="D2" s="13" t="n">
        <x:v>489</x:v>
      </x:c>
      <x:c r="E2" s="14" t="n">
        <x:f>D2/B2</x:f>
        <x:v>0.00163</x:v>
      </x:c>
      <x:c r="F2" s="15" t="n">
        <x:f>1-E2</x:f>
        <x:v>0.99837</x:v>
      </x:c>
      <x:c r="G2" s="10" t="str">
        <x:v>50分03.870秒</x:v>
      </x:c>
    </x:row>
    <x:row r="3" ht="30" customHeight="1">
      <x:c r="A3" s="12" t="str">
        <x:v>5 ms</x:v>
      </x:c>
      <x:c r="B3" s="13" t="n">
        <x:v>300000</x:v>
      </x:c>
      <x:c r="C3" s="13" t="n">
        <x:v>299905</x:v>
      </x:c>
      <x:c r="D3" s="13" t="n">
        <x:v>191</x:v>
      </x:c>
      <x:c r="E3" s="14" t="n">
        <x:f>D3/B3</x:f>
        <x:v>0.0006366666666666667</x:v>
      </x:c>
      <x:c r="F3" s="15" t="n">
        <x:f>1-E3</x:f>
        <x:v>0.9993633333333334</x:v>
      </x:c>
      <x:c r="G3" s="10" t="str">
        <x:v>26分33.919秒</x:v>
      </x:c>
    </x:row>
    <x:row r="4" ht="30" customHeight="1">
      <x:c r="A4" s="12" t="str">
        <x:v>4 ms</x:v>
      </x:c>
      <x:c r="B4" s="13" t="n">
        <x:v>300000</x:v>
      </x:c>
      <x:c r="C4" s="13" t="n">
        <x:v>299888</x:v>
      </x:c>
      <x:c r="D4" s="13" t="n">
        <x:v>225</x:v>
      </x:c>
      <x:c r="E4" s="14" t="n">
        <x:f>D4/B4</x:f>
        <x:v>0.00075</x:v>
      </x:c>
      <x:c r="F4" s="15" t="n">
        <x:f>1-E4</x:f>
        <x:v>0.99925</x:v>
      </x:c>
      <x:c r="G4" s="10" t="str">
        <x:v>21分39.105秒</x:v>
      </x:c>
    </x:row>
    <x:row r="5" ht="30" customHeight="1">
      <x:c r="A5" s="12" t="str">
        <x:v>3 ms</x:v>
      </x:c>
      <x:c r="B5" s="13" t="n">
        <x:v>300000</x:v>
      </x:c>
      <x:c r="C5" s="13" t="n">
        <x:v>299914</x:v>
      </x:c>
      <x:c r="D5" s="13" t="n">
        <x:v>175</x:v>
      </x:c>
      <x:c r="E5" s="14" t="n">
        <x:f>D5/B5</x:f>
        <x:v>0.0005833333333333334</x:v>
      </x:c>
      <x:c r="F5" s="15" t="n">
        <x:f>1-E5</x:f>
        <x:v>0.9994166666666666</x:v>
      </x:c>
      <x:c r="G5" s="10" t="str">
        <x:v>16分43.817秒</x:v>
      </x:c>
    </x:row>
    <x:row r="6" ht="30" customHeight="1">
      <x:c r="A6" s="12" t="str">
        <x:v>2 ms</x:v>
      </x:c>
      <x:c r="B6" s="13" t="n">
        <x:v>300000</x:v>
      </x:c>
      <x:c r="C6" s="13" t="n">
        <x:v>299866</x:v>
      </x:c>
      <x:c r="D6" s="13" t="n">
        <x:v>269</x:v>
      </x:c>
      <x:c r="E6" s="14" t="n">
        <x:f>D6/B6</x:f>
        <x:v>0.0008966666666666667</x:v>
      </x:c>
      <x:c r="F6" s="15" t="n">
        <x:f>1-E6</x:f>
        <x:v>0.9991033333333333</x:v>
      </x:c>
      <x:c r="G6" s="10" t="str">
        <x:v>11分46.987秒</x:v>
      </x:c>
    </x:row>
    <x:row r="7" ht="30" customHeight="1">
      <x:c r="A7" s="12" t="str">
        <x:v>1 ms</x:v>
      </x:c>
      <x:c r="B7" s="13" t="n">
        <x:v>300000</x:v>
      </x:c>
      <x:c r="C7" s="13" t="n">
        <x:v>299896</x:v>
      </x:c>
      <x:c r="D7" s="13" t="n">
        <x:v>210</x:v>
      </x:c>
      <x:c r="E7" s="14" t="n">
        <x:f>D7/B7</x:f>
        <x:v>0.0007</x:v>
      </x:c>
      <x:c r="F7" s="15" t="n">
        <x:f>1-E7</x:f>
        <x:v>0.9993</x:v>
      </x:c>
      <x:c r="G7" s="10" t="str">
        <x:v>6分52.440秒</x:v>
      </x:c>
    </x:row>
    <x:row r="9" ht="24" customHeight="1">
      <x:c r="A9" s="18" t="str">
        <x:v>口径：丢包+错误数 = lost + phy_err + invalid；成功率 = (发送数 − 失败数) / 发送数。</x:v>
      </x:c>
      <x:c r="B9" s="18"/>
      <x:c r="C9" s="18"/>
      <x:c r="D9" s="18"/>
      <x:c r="E9" s="18"/>
      <x:c r="F9" s="18"/>
      <x:c r="G9" s="18"/>
    </x:row>
    <x:row r="10" ht="24" customHeight="1">
      <x:c r="A10" s="18" t="str">
        <x:v>注意：phy_err 可能与 lost 对应同一丢失数据包；按要求直接相加可能重复计数。</x:v>
      </x:c>
      <x:c r="B10" s="18"/>
      <x:c r="C10" s="18"/>
      <x:c r="D10" s="18"/>
      <x:c r="E10" s="18"/>
      <x:c r="F10" s="18"/>
      <x:c r="G10" s="18"/>
    </x:row>
    <x:row r="11" ht="24" customHeight="1">
      <x:c r="A11" s="18" t="str">
        <x:v>来源：interval_packet_loss_summary.csv；耗时沿用用户提供表格中的实测值。</x:v>
      </x:c>
      <x:c r="B11" s="18"/>
      <x:c r="C11" s="18"/>
      <x:c r="D11" s="18"/>
      <x:c r="E11" s="18"/>
      <x:c r="F11" s="18"/>
      <x:c r="G11" s="18"/>
    </x:row>
  </x:sheetData>
  <x:pageMargins left="0.7" right="0.7" top="0.75" bottom="0.75" header="0.3" footer="0.3"/>
</x:worksheet>
</file>